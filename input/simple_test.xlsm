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filiz\Downloads\TU-Wien\Data Stewardship\Assignment 2\RO-Crates-and-Excel\input\"/>
    </mc:Choice>
  </mc:AlternateContent>
  <xr:revisionPtr revIDLastSave="0" documentId="13_ncr:1_{487F7A49-0D7A-4909-A849-361D60BD93E1}" xr6:coauthVersionLast="47" xr6:coauthVersionMax="47" xr10:uidLastSave="{00000000-0000-0000-0000-000000000000}"/>
  <bookViews>
    <workbookView xWindow="-108" yWindow="-108" windowWidth="23256" windowHeight="12576"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2" l="1"/>
  <c r="A4" i="2"/>
  <c r="A5" i="2"/>
  <c r="A6" i="2"/>
  <c r="A7" i="2"/>
  <c r="A2" i="2"/>
  <c r="E3" i="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[Komentář ve vlákně]
Vaše verze aplikace Excel vám umožňuje číst tento komentář ve vlákně, ale jakékoli jeho úpravy se odeberou, pokud se soubor otevře v novější verzi aplikace Excel. Další informace: https://go.microsoft.com/fwlink/?linkid=870924
Komentář: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<sst xmlns="http://schemas.openxmlformats.org/spreadsheetml/2006/main" count="33" uniqueCount="29">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</sst>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164" fontId="0" fillId="0" borderId="0" xfId="1" applyFont="1"/>
    <xf numFmtId="164" fontId="0" fillId="0" borderId="0" xfId="0" applyNumberFormat="1"/>
    <xf numFmtId="9" fontId="0" fillId="0" borderId="0" xfId="2" applyFont="1"/>
  </cellXfs>
  <cellStyles count="3">
    <cellStyle name="Měna" xfId="1" builtinId="4"/>
    <cellStyle name="Normální" xfId="0" builtinId="0"/>
    <cellStyle name="Procenta" xfId="2" builtinId="5"/>
  </cellStyles>
  <dxfs count="1">
    <dxf>
      <numFmt numFmtId="16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 #\ ##0.00_-;\-"€"\ * #\ ##0.00_-;_-"€"\ *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 #\ ##0.00_-;\-"€"\ * #\ ##0.00_-;_-"€"\ *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9</xdr:row>
      <xdr:rowOff>139700</xdr:rowOff>
    </xdr:from>
    <xdr:to>
      <xdr:col>7</xdr:col>
      <xdr:colOff>38100</xdr:colOff>
      <xdr:row>15</xdr:row>
      <xdr:rowOff>38100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76200" y="2025650"/>
          <a:ext cx="53149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B87"/>
  <sheetViews>
    <sheetView tabSelected="1" workbookViewId="0">
      <selection activeCell="A2" sqref="A2"/>
    </sheetView>
  </sheetViews>
  <sheetFormatPr defaultRowHeight="18" x14ac:dyDescent="0.5"/>
  <cols>
    <col min="1" max="1" width="11.6640625" customWidth="1"/>
    <col min="3" max="3" width="10.88671875" customWidth="1"/>
    <col min="4" max="4" width="15.21875" customWidth="1"/>
    <col min="5" max="6" width="10.77734375" bestFit="1" customWidth="1"/>
    <col min="9" max="9" width="16.21875" customWidth="1"/>
    <col min="10" max="10" width="16" customWidth="1"/>
    <col min="11" max="12" width="10.21875" customWidth="1"/>
    <col min="13" max="13" width="16.5546875" customWidth="1"/>
  </cols>
  <sheetData>
    <row r="1" spans="1:704" x14ac:dyDescent="0.5">
      <c r="A1" s="1" t="s">
        <v>0</v>
      </c>
      <c r="B1" s="1" t="s">
        <v>1</v>
      </c>
      <c r="C1" s="1" t="s">
        <v>2</v>
      </c>
      <c r="D1" s="1" t="s">
        <v>4</v>
      </c>
      <c r="F1" s="1" t="s">
        <v>27</v>
      </c>
      <c r="I1" t="s">
        <v>10</v>
      </c>
      <c r="J1" t="s">
        <v>11</v>
      </c>
      <c r="K1" t="s">
        <v>1</v>
      </c>
      <c r="L1" s="4" t="s">
        <v>12</v>
      </c>
      <c r="M1" t="s">
        <v>13</v>
      </c>
      <c r="AAB1" t="s">
        <v>28</v>
      </c>
    </row>
    <row r="2" spans="1:704"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704"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704" x14ac:dyDescent="0.5">
      <c r="A4" t="s">
        <v>6</v>
      </c>
      <c r="B4" s="2">
        <v>3</v>
      </c>
      <c r="C4">
        <v>31</v>
      </c>
      <c r="D4" s="3">
        <f>SUM(B4:C4)</f>
        <v>34</v>
      </c>
      <c r="F4" s="3">
        <f>SUM(B2:B4) + SUM(C2:C4)</f>
        <v>1366</v>
      </c>
      <c r="I4" t="s">
        <v>16</v>
      </c>
      <c r="J4">
        <v>2018</v>
      </c>
      <c r="K4" s="2">
        <v>60</v>
      </c>
      <c r="L4" s="4">
        <v>0.5</v>
      </c>
      <c r="M4" s="3">
        <f t="shared" si="0"/>
        <v>30</v>
      </c>
    </row>
    <row r="5" spans="1:704" x14ac:dyDescent="0.5">
      <c r="A5" t="s">
        <v>7</v>
      </c>
      <c r="B5" s="2">
        <v>2</v>
      </c>
      <c r="C5">
        <v>2555</v>
      </c>
      <c r="D5" s="3">
        <f t="shared" si="1"/>
        <v>2557</v>
      </c>
      <c r="I5" t="s">
        <v>17</v>
      </c>
      <c r="J5">
        <v>2020</v>
      </c>
      <c r="K5" s="2">
        <v>60</v>
      </c>
      <c r="L5" s="4">
        <v>0.7</v>
      </c>
      <c r="M5" s="3">
        <f t="shared" si="0"/>
        <v>18</v>
      </c>
    </row>
    <row r="6" spans="1:704" x14ac:dyDescent="0.5">
      <c r="A6" t="s">
        <v>8</v>
      </c>
      <c r="B6" s="2">
        <v>1</v>
      </c>
      <c r="C6">
        <v>1</v>
      </c>
      <c r="D6" s="3">
        <f t="shared" si="1"/>
        <v>2</v>
      </c>
      <c r="I6" t="s">
        <v>18</v>
      </c>
      <c r="J6">
        <v>2020</v>
      </c>
      <c r="K6" s="2">
        <v>60</v>
      </c>
      <c r="L6" s="4">
        <v>0.1</v>
      </c>
      <c r="M6" s="3">
        <f t="shared" si="0"/>
        <v>54</v>
      </c>
    </row>
    <row r="7" spans="1:704" x14ac:dyDescent="0.5">
      <c r="A7" t="s">
        <v>9</v>
      </c>
      <c r="B7" s="2">
        <v>5</v>
      </c>
      <c r="C7">
        <v>6</v>
      </c>
      <c r="D7" s="3">
        <f t="shared" si="1"/>
        <v>11</v>
      </c>
      <c r="I7" t="s">
        <v>19</v>
      </c>
      <c r="J7">
        <v>2017</v>
      </c>
      <c r="K7" s="2">
        <v>60</v>
      </c>
      <c r="L7" s="4">
        <v>0.8</v>
      </c>
      <c r="M7" s="3">
        <f t="shared" si="0"/>
        <v>12</v>
      </c>
    </row>
    <row r="8" spans="1:704" x14ac:dyDescent="0.5">
      <c r="I8" t="s">
        <v>20</v>
      </c>
      <c r="J8">
        <v>2018</v>
      </c>
      <c r="K8" s="2">
        <v>60</v>
      </c>
      <c r="L8" s="4">
        <v>0.35</v>
      </c>
      <c r="M8" s="3">
        <f t="shared" si="0"/>
        <v>39</v>
      </c>
    </row>
    <row r="87" spans="87:87" x14ac:dyDescent="0.5">
      <c r="CI87" t="s">
        <v>28</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F12" sqref="F12"/>
    </sheetView>
  </sheetViews>
  <sheetFormatPr defaultRowHeight="18" x14ac:dyDescent="0.5"/>
  <cols>
    <col min="14" max="14" width="9.21875" bestFit="1" customWidth="1"/>
  </cols>
  <sheetData>
    <row r="1" spans="1:14" x14ac:dyDescent="0.5">
      <c r="A1" t="s">
        <v>0</v>
      </c>
      <c r="B1" t="s">
        <v>21</v>
      </c>
      <c r="C1" t="s">
        <v>22</v>
      </c>
      <c r="D1" t="s">
        <v>23</v>
      </c>
      <c r="F1" t="s">
        <v>24</v>
      </c>
      <c r="G1" t="s">
        <v>24</v>
      </c>
      <c r="M1" t="s">
        <v>26</v>
      </c>
      <c r="N1" t="s">
        <v>25</v>
      </c>
    </row>
    <row r="2" spans="1:14" x14ac:dyDescent="0.5">
      <c r="A2" t="str">
        <f>Sheet1!A2</f>
        <v>Bread</v>
      </c>
      <c r="B2" t="e" cm="1">
        <f t="array" ref="B2">Sheet</f>
        <v>#NAME?</v>
      </c>
      <c r="C2">
        <f>IF((D2 &gt; F2), SUM(D2:D7), SUM(F2:F7))</f>
        <v>230</v>
      </c>
      <c r="D2" s="3">
        <f>Sheet1!B2 * 10</f>
        <v>50</v>
      </c>
      <c r="F2" s="3">
        <f>D2/100</f>
        <v>0.5</v>
      </c>
      <c r="J2" s="3"/>
      <c r="M2">
        <f>SUM(Sheet1!C2:'Sheet1'!C7)</f>
        <v>3913</v>
      </c>
      <c r="N2" s="3">
        <f>SUM(D2:D7)</f>
        <v>230</v>
      </c>
    </row>
    <row r="3" spans="1:14" x14ac:dyDescent="0.5">
      <c r="A3" t="str">
        <f>Sheet1!A3</f>
        <v>Cookies</v>
      </c>
      <c r="B3" t="e" cm="1">
        <f t="array" ref="B3">Sheet</f>
        <v>#NAME?</v>
      </c>
      <c r="C3" t="e">
        <f t="shared" ref="C3:C7" si="0">1/0</f>
        <v>#DIV/0!</v>
      </c>
      <c r="D3" s="3">
        <f>Sheet1!B3 * 10</f>
        <v>70</v>
      </c>
      <c r="F3" s="3">
        <f t="shared" ref="F3:F7" si="1">D3/100</f>
        <v>0.7</v>
      </c>
      <c r="J3" s="3"/>
    </row>
    <row r="4" spans="1:14" x14ac:dyDescent="0.5">
      <c r="A4" t="str">
        <f>Sheet1!A4</f>
        <v>Chocolate</v>
      </c>
      <c r="B4" t="e" cm="1">
        <f t="array" ref="B4">Sheet</f>
        <v>#NAME?</v>
      </c>
      <c r="C4" t="e">
        <f t="shared" si="0"/>
        <v>#DIV/0!</v>
      </c>
      <c r="D4" s="3">
        <f>Sheet1!B4 * 10</f>
        <v>30</v>
      </c>
      <c r="F4" s="3">
        <f t="shared" si="1"/>
        <v>0.3</v>
      </c>
      <c r="J4" s="3"/>
    </row>
    <row r="5" spans="1:14" x14ac:dyDescent="0.5">
      <c r="A5" t="str">
        <f>Sheet1!A5</f>
        <v>Sugar</v>
      </c>
      <c r="B5" t="e" cm="1">
        <f t="array" ref="B5">Sheet</f>
        <v>#NAME?</v>
      </c>
      <c r="C5" t="e">
        <f t="shared" si="0"/>
        <v>#DIV/0!</v>
      </c>
      <c r="D5" s="3">
        <f>Sheet1!B5 * 10</f>
        <v>20</v>
      </c>
      <c r="F5" s="3">
        <f t="shared" si="1"/>
        <v>0.2</v>
      </c>
      <c r="J5" s="3"/>
    </row>
    <row r="6" spans="1:14" x14ac:dyDescent="0.5">
      <c r="A6" t="str">
        <f>Sheet1!A6</f>
        <v>Egg</v>
      </c>
      <c r="B6" t="e" cm="1">
        <f t="array" ref="B6">Sheet</f>
        <v>#NAME?</v>
      </c>
      <c r="C6" t="e">
        <f t="shared" si="0"/>
        <v>#DIV/0!</v>
      </c>
      <c r="D6" s="3">
        <f>Sheet1!B6 * 10</f>
        <v>10</v>
      </c>
      <c r="F6" s="3">
        <f t="shared" si="1"/>
        <v>0.1</v>
      </c>
      <c r="J6" s="3"/>
    </row>
    <row r="7" spans="1:14" x14ac:dyDescent="0.5">
      <c r="A7" t="str">
        <f>Sheet1!A7</f>
        <v>Ketchup</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Filip Zoubek</cp:lastModifiedBy>
  <dcterms:created xsi:type="dcterms:W3CDTF">2020-09-30T15:03:27Z</dcterms:created>
  <dcterms:modified xsi:type="dcterms:W3CDTF">2021-06-17T16:27:54Z</dcterms:modified>
</cp:coreProperties>
</file>